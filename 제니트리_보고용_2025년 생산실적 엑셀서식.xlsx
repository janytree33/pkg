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생산실적보고\생산실적보고(2025)\"/>
    </mc:Choice>
  </mc:AlternateContent>
  <xr:revisionPtr revIDLastSave="0" documentId="13_ncr:1_{C1ACE0A6-C55A-420F-A3B1-7AD7A9D50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F22" i="1" l="1"/>
</calcChain>
</file>

<file path=xl/sharedStrings.xml><?xml version="1.0" encoding="utf-8"?>
<sst xmlns="http://schemas.openxmlformats.org/spreadsheetml/2006/main" count="105" uniqueCount="45">
  <si>
    <t>순번</t>
  </si>
  <si>
    <t>단위</t>
  </si>
  <si>
    <t>제품명(국문)</t>
  </si>
  <si>
    <t>제조업자(국문)</t>
  </si>
  <si>
    <t>용량(숫자)</t>
  </si>
  <si>
    <t xml:space="preserve"> 생산량(개) </t>
  </si>
  <si>
    <t xml:space="preserve"> 생산단가(원) </t>
  </si>
  <si>
    <t>견본품('S'표시)</t>
  </si>
  <si>
    <t>한방제품(‘H'표시)</t>
  </si>
  <si>
    <t>리필제품(‘R'표시)</t>
    <phoneticPr fontId="1" type="noConversion"/>
  </si>
  <si>
    <t>맞춤형 내용물(혼합용‘C1’,소분용,‘C2’)</t>
    <phoneticPr fontId="1" type="noConversion"/>
  </si>
  <si>
    <t>더레드</t>
    <phoneticPr fontId="1" type="noConversion"/>
  </si>
  <si>
    <t>㈜제니트리</t>
    <phoneticPr fontId="1" type="noConversion"/>
  </si>
  <si>
    <t>보나데아와이리프레쉬세럼</t>
    <phoneticPr fontId="1" type="noConversion"/>
  </si>
  <si>
    <t>아프리모로맨틱남성용향수</t>
    <phoneticPr fontId="1" type="noConversion"/>
  </si>
  <si>
    <t>ml</t>
    <phoneticPr fontId="1" type="noConversion"/>
  </si>
  <si>
    <t>R</t>
    <phoneticPr fontId="1" type="noConversion"/>
  </si>
  <si>
    <t>S</t>
    <phoneticPr fontId="1" type="noConversion"/>
  </si>
  <si>
    <t>아프리모미드나잇남성용향수</t>
    <phoneticPr fontId="1" type="noConversion"/>
  </si>
  <si>
    <t>아프리모미드나잇여성용향수</t>
    <phoneticPr fontId="1" type="noConversion"/>
  </si>
  <si>
    <t>아프리모핫스터프남성용향수</t>
    <phoneticPr fontId="1" type="noConversion"/>
  </si>
  <si>
    <t>아프리모핫스터프여성용향수</t>
    <phoneticPr fontId="1" type="noConversion"/>
  </si>
  <si>
    <t>앰플런스하이드로</t>
    <phoneticPr fontId="1" type="noConversion"/>
  </si>
  <si>
    <t>앰플런스하이드로버블폼</t>
    <phoneticPr fontId="1" type="noConversion"/>
  </si>
  <si>
    <t>인투메디딥모이스처카머</t>
    <phoneticPr fontId="1" type="noConversion"/>
  </si>
  <si>
    <t>인투메디에이치알인플럭스</t>
    <phoneticPr fontId="1" type="noConversion"/>
  </si>
  <si>
    <t>인투메디에이치알펩타이드</t>
  </si>
  <si>
    <t>인투메디퍼스트앰플플라센타</t>
  </si>
  <si>
    <t>피토필액티브믹스처</t>
    <phoneticPr fontId="1" type="noConversion"/>
  </si>
  <si>
    <t>피토필허브콤플렉스</t>
    <phoneticPr fontId="1" type="noConversion"/>
  </si>
  <si>
    <t>g</t>
    <phoneticPr fontId="1" type="noConversion"/>
  </si>
  <si>
    <t>아프리모더바디남성용향수</t>
    <phoneticPr fontId="1" type="noConversion"/>
  </si>
  <si>
    <t>㈜씨아이티</t>
    <phoneticPr fontId="1" type="noConversion"/>
  </si>
  <si>
    <t>아프리모더바디여성용향수</t>
    <phoneticPr fontId="1" type="noConversion"/>
  </si>
  <si>
    <t>아프리모더바디남성용핸드크림</t>
    <phoneticPr fontId="1" type="noConversion"/>
  </si>
  <si>
    <t>아프리모더바디여성용핸드크림</t>
    <phoneticPr fontId="1" type="noConversion"/>
  </si>
  <si>
    <t>㈜나투젠</t>
    <phoneticPr fontId="1" type="noConversion"/>
  </si>
  <si>
    <t>아프리모클리어앤샤인퍼퓸바디워시</t>
    <phoneticPr fontId="1" type="noConversion"/>
  </si>
  <si>
    <t>보나데아궁</t>
    <phoneticPr fontId="1" type="noConversion"/>
  </si>
  <si>
    <t>시크릿버진리아베프리미엄시크릿에센스</t>
    <phoneticPr fontId="1" type="noConversion"/>
  </si>
  <si>
    <t>㈜기린화장품</t>
    <phoneticPr fontId="1" type="noConversion"/>
  </si>
  <si>
    <t>㈜고려티엠</t>
    <phoneticPr fontId="1" type="noConversion"/>
  </si>
  <si>
    <t>mgx12개</t>
    <phoneticPr fontId="1" type="noConversion"/>
  </si>
  <si>
    <t>mlx3개</t>
    <phoneticPr fontId="1" type="noConversion"/>
  </si>
  <si>
    <t>mlx5개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</si>
</sst>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2" fillId="2" borderId="1" xfId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  <color theme="4" tint="-0.24994659260841701"/>
      </font>
    </dxf>
    <dxf>
      <font>
        <b/>
        <i val="0"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view="pageBreakPreview" zoomScaleNormal="70" zoomScaleSheetLayoutView="100" workbookViewId="0">
      <selection activeCell="C19" sqref="C19"/>
    </sheetView>
  </sheetViews>
  <sheetFormatPr defaultColWidth="8.75" defaultRowHeight="16.5" x14ac:dyDescent="0.3"/>
  <cols>
    <col min="1" max="1" width="5" style="2" bestFit="1" customWidth="1"/>
    <col min="2" max="2" width="33.875" style="2" bestFit="1" customWidth="1"/>
    <col min="3" max="3" width="20.25" style="3" customWidth="1"/>
    <col min="4" max="4" width="10.25" style="2" bestFit="1" customWidth="1"/>
    <col min="5" max="5" width="10.25" style="2" customWidth="1"/>
    <col min="6" max="6" width="11.25" style="2" customWidth="1"/>
    <col min="7" max="7" width="12.625" style="2" customWidth="1"/>
    <col min="8" max="8" width="15.25" style="2" customWidth="1"/>
    <col min="9" max="10" width="17" style="5" customWidth="1"/>
    <col min="11" max="11" width="35.125" style="5" customWidth="1"/>
    <col min="12" max="16384" width="8.75" style="2"/>
  </cols>
  <sheetData>
    <row r="1" spans="1:11" x14ac:dyDescent="0.3">
      <c r="A1" s="6" t="s">
        <v>0</v>
      </c>
      <c r="B1" s="6" t="s">
        <v>2</v>
      </c>
      <c r="C1" s="7" t="s">
        <v>3</v>
      </c>
      <c r="D1" s="6" t="s">
        <v>4</v>
      </c>
      <c r="E1" s="6" t="s">
        <v>1</v>
      </c>
      <c r="F1" s="8" t="s">
        <v>5</v>
      </c>
      <c r="G1" s="8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4">
        <v>10</v>
      </c>
      <c r="E2" s="1" t="s">
        <v>44</v>
      </c>
      <c r="F2" s="9">
        <v>2000</v>
      </c>
      <c r="G2" s="9">
        <v>5281</v>
      </c>
      <c r="H2" s="1"/>
      <c r="I2" s="1"/>
      <c r="J2" s="1"/>
      <c r="K2" s="1"/>
    </row>
    <row r="3" spans="1:11" x14ac:dyDescent="0.3">
      <c r="A3" s="1">
        <v>2</v>
      </c>
      <c r="B3" s="1" t="s">
        <v>13</v>
      </c>
      <c r="C3" s="1" t="s">
        <v>12</v>
      </c>
      <c r="D3" s="4">
        <v>5</v>
      </c>
      <c r="E3" s="1" t="s">
        <v>44</v>
      </c>
      <c r="F3" s="9">
        <v>4371</v>
      </c>
      <c r="G3" s="9">
        <v>4213</v>
      </c>
      <c r="H3" s="1"/>
      <c r="I3" s="1"/>
      <c r="J3" s="1"/>
      <c r="K3" s="1"/>
    </row>
    <row r="4" spans="1:11" x14ac:dyDescent="0.3">
      <c r="A4" s="1">
        <v>3</v>
      </c>
      <c r="B4" s="1" t="s">
        <v>14</v>
      </c>
      <c r="C4" s="1" t="s">
        <v>12</v>
      </c>
      <c r="D4" s="4">
        <v>40</v>
      </c>
      <c r="E4" s="1" t="s">
        <v>15</v>
      </c>
      <c r="F4" s="9">
        <v>1017</v>
      </c>
      <c r="G4" s="9">
        <v>6050</v>
      </c>
      <c r="H4" s="1"/>
      <c r="I4" s="1"/>
      <c r="J4" s="1"/>
      <c r="K4" s="1"/>
    </row>
    <row r="5" spans="1:11" x14ac:dyDescent="0.3">
      <c r="A5" s="1">
        <v>4</v>
      </c>
      <c r="B5" s="1" t="s">
        <v>14</v>
      </c>
      <c r="C5" s="1" t="s">
        <v>12</v>
      </c>
      <c r="D5" s="4">
        <v>20</v>
      </c>
      <c r="E5" s="1" t="s">
        <v>15</v>
      </c>
      <c r="F5" s="9">
        <v>200</v>
      </c>
      <c r="G5" s="9">
        <v>2200</v>
      </c>
      <c r="H5" s="1"/>
      <c r="I5" s="1"/>
      <c r="J5" s="1" t="s">
        <v>16</v>
      </c>
      <c r="K5" s="1"/>
    </row>
    <row r="6" spans="1:11" x14ac:dyDescent="0.3">
      <c r="A6" s="1">
        <v>5</v>
      </c>
      <c r="B6" s="1" t="s">
        <v>14</v>
      </c>
      <c r="C6" s="1" t="s">
        <v>12</v>
      </c>
      <c r="D6" s="4">
        <v>2.2999999999999998</v>
      </c>
      <c r="E6" s="1" t="s">
        <v>15</v>
      </c>
      <c r="F6" s="9">
        <v>1005</v>
      </c>
      <c r="G6" s="9">
        <v>330</v>
      </c>
      <c r="H6" s="1" t="s">
        <v>17</v>
      </c>
      <c r="I6" s="1"/>
      <c r="J6" s="1"/>
      <c r="K6" s="1"/>
    </row>
    <row r="7" spans="1:11" x14ac:dyDescent="0.3">
      <c r="A7" s="1">
        <v>6</v>
      </c>
      <c r="B7" s="1" t="s">
        <v>18</v>
      </c>
      <c r="C7" s="1" t="s">
        <v>12</v>
      </c>
      <c r="D7" s="4">
        <v>40</v>
      </c>
      <c r="E7" s="1" t="s">
        <v>15</v>
      </c>
      <c r="F7" s="9">
        <v>6989</v>
      </c>
      <c r="G7" s="9">
        <v>6820</v>
      </c>
      <c r="H7" s="1"/>
      <c r="I7" s="1"/>
      <c r="J7" s="1"/>
      <c r="K7" s="1"/>
    </row>
    <row r="8" spans="1:11" x14ac:dyDescent="0.3">
      <c r="A8" s="1">
        <v>7</v>
      </c>
      <c r="B8" s="1" t="s">
        <v>18</v>
      </c>
      <c r="C8" s="1" t="s">
        <v>12</v>
      </c>
      <c r="D8" s="4">
        <v>20</v>
      </c>
      <c r="E8" s="1" t="s">
        <v>15</v>
      </c>
      <c r="F8" s="9">
        <v>281</v>
      </c>
      <c r="G8" s="9">
        <v>2090</v>
      </c>
      <c r="H8" s="1"/>
      <c r="I8" s="1"/>
      <c r="J8" s="1" t="s">
        <v>16</v>
      </c>
      <c r="K8" s="1"/>
    </row>
    <row r="9" spans="1:11" x14ac:dyDescent="0.3">
      <c r="A9" s="1">
        <v>8</v>
      </c>
      <c r="B9" s="1" t="s">
        <v>19</v>
      </c>
      <c r="C9" s="1" t="s">
        <v>12</v>
      </c>
      <c r="D9" s="4">
        <v>40</v>
      </c>
      <c r="E9" s="1" t="s">
        <v>15</v>
      </c>
      <c r="F9" s="9">
        <v>1100</v>
      </c>
      <c r="G9" s="9">
        <v>6820</v>
      </c>
      <c r="H9" s="1"/>
      <c r="I9" s="1"/>
      <c r="J9" s="1"/>
      <c r="K9" s="1"/>
    </row>
    <row r="10" spans="1:11" x14ac:dyDescent="0.3">
      <c r="A10" s="1">
        <v>9</v>
      </c>
      <c r="B10" s="1" t="s">
        <v>19</v>
      </c>
      <c r="C10" s="1" t="s">
        <v>12</v>
      </c>
      <c r="D10" s="4">
        <v>20</v>
      </c>
      <c r="E10" s="1" t="s">
        <v>15</v>
      </c>
      <c r="F10" s="9">
        <v>27</v>
      </c>
      <c r="G10" s="9">
        <v>2090</v>
      </c>
      <c r="H10" s="1"/>
      <c r="I10" s="1"/>
      <c r="J10" s="1" t="s">
        <v>16</v>
      </c>
      <c r="K10" s="1"/>
    </row>
    <row r="11" spans="1:11" x14ac:dyDescent="0.3">
      <c r="A11" s="1">
        <v>10</v>
      </c>
      <c r="B11" s="1" t="s">
        <v>20</v>
      </c>
      <c r="C11" s="1" t="s">
        <v>12</v>
      </c>
      <c r="D11" s="4">
        <v>40</v>
      </c>
      <c r="E11" s="1" t="s">
        <v>15</v>
      </c>
      <c r="F11" s="9">
        <v>1100</v>
      </c>
      <c r="G11" s="9">
        <v>6820</v>
      </c>
      <c r="H11" s="1"/>
      <c r="I11" s="1"/>
      <c r="J11" s="1"/>
      <c r="K11" s="1"/>
    </row>
    <row r="12" spans="1:11" x14ac:dyDescent="0.3">
      <c r="A12" s="1">
        <v>11</v>
      </c>
      <c r="B12" s="1" t="s">
        <v>21</v>
      </c>
      <c r="C12" s="1" t="s">
        <v>12</v>
      </c>
      <c r="D12" s="4">
        <v>40</v>
      </c>
      <c r="E12" s="1" t="s">
        <v>15</v>
      </c>
      <c r="F12" s="9">
        <v>1058</v>
      </c>
      <c r="G12" s="9">
        <v>6820</v>
      </c>
      <c r="H12" s="1"/>
      <c r="I12" s="1"/>
      <c r="J12" s="1"/>
      <c r="K12" s="1"/>
    </row>
    <row r="13" spans="1:11" x14ac:dyDescent="0.3">
      <c r="A13" s="1">
        <v>12</v>
      </c>
      <c r="B13" s="1" t="s">
        <v>21</v>
      </c>
      <c r="C13" s="1" t="s">
        <v>12</v>
      </c>
      <c r="D13" s="4">
        <v>20</v>
      </c>
      <c r="E13" s="1" t="s">
        <v>15</v>
      </c>
      <c r="F13" s="9">
        <v>95</v>
      </c>
      <c r="G13" s="9">
        <v>2310</v>
      </c>
      <c r="H13" s="1"/>
      <c r="I13" s="1"/>
      <c r="J13" s="1" t="s">
        <v>16</v>
      </c>
      <c r="K13" s="1"/>
    </row>
    <row r="14" spans="1:11" x14ac:dyDescent="0.3">
      <c r="A14" s="1">
        <v>13</v>
      </c>
      <c r="B14" s="1" t="s">
        <v>21</v>
      </c>
      <c r="C14" s="1" t="s">
        <v>12</v>
      </c>
      <c r="D14" s="4">
        <v>2.2999999999999998</v>
      </c>
      <c r="E14" s="1" t="s">
        <v>15</v>
      </c>
      <c r="F14" s="9">
        <v>1002</v>
      </c>
      <c r="G14" s="9">
        <v>330</v>
      </c>
      <c r="H14" s="1" t="s">
        <v>17</v>
      </c>
      <c r="I14" s="1"/>
      <c r="J14" s="1"/>
      <c r="K14" s="1"/>
    </row>
    <row r="15" spans="1:11" s="12" customFormat="1" x14ac:dyDescent="0.3">
      <c r="A15" s="10">
        <v>14</v>
      </c>
      <c r="B15" s="10" t="s">
        <v>22</v>
      </c>
      <c r="C15" s="10" t="s">
        <v>12</v>
      </c>
      <c r="D15" s="11">
        <v>50</v>
      </c>
      <c r="E15" s="10" t="s">
        <v>15</v>
      </c>
      <c r="F15" s="9">
        <v>942</v>
      </c>
      <c r="G15" s="9">
        <v>3237</v>
      </c>
      <c r="H15" s="10"/>
      <c r="I15" s="10"/>
      <c r="J15" s="10"/>
      <c r="K15" s="10"/>
    </row>
    <row r="16" spans="1:11" s="12" customFormat="1" x14ac:dyDescent="0.3">
      <c r="A16" s="10">
        <v>15</v>
      </c>
      <c r="B16" s="10" t="s">
        <v>23</v>
      </c>
      <c r="C16" s="10" t="s">
        <v>12</v>
      </c>
      <c r="D16" s="11">
        <v>150</v>
      </c>
      <c r="E16" s="10" t="s">
        <v>15</v>
      </c>
      <c r="F16" s="9">
        <v>609</v>
      </c>
      <c r="G16" s="9">
        <v>2622</v>
      </c>
      <c r="H16" s="10"/>
      <c r="I16" s="10"/>
      <c r="J16" s="10"/>
      <c r="K16" s="10"/>
    </row>
    <row r="17" spans="1:11" s="12" customFormat="1" x14ac:dyDescent="0.3">
      <c r="A17" s="10">
        <v>16</v>
      </c>
      <c r="B17" s="10" t="s">
        <v>24</v>
      </c>
      <c r="C17" s="10" t="s">
        <v>12</v>
      </c>
      <c r="D17" s="11">
        <v>70</v>
      </c>
      <c r="E17" s="10" t="s">
        <v>15</v>
      </c>
      <c r="F17" s="9">
        <v>12502</v>
      </c>
      <c r="G17" s="9">
        <v>2652</v>
      </c>
      <c r="H17" s="10"/>
      <c r="I17" s="10"/>
      <c r="J17" s="10"/>
      <c r="K17" s="10"/>
    </row>
    <row r="18" spans="1:11" s="12" customFormat="1" x14ac:dyDescent="0.3">
      <c r="A18" s="10">
        <v>17</v>
      </c>
      <c r="B18" s="10" t="s">
        <v>25</v>
      </c>
      <c r="C18" s="10" t="s">
        <v>12</v>
      </c>
      <c r="D18" s="11">
        <v>50</v>
      </c>
      <c r="E18" s="10" t="s">
        <v>15</v>
      </c>
      <c r="F18" s="9">
        <v>1540</v>
      </c>
      <c r="G18" s="9">
        <v>5057</v>
      </c>
      <c r="H18" s="10"/>
      <c r="I18" s="11"/>
      <c r="J18" s="11"/>
      <c r="K18" s="11"/>
    </row>
    <row r="19" spans="1:11" s="12" customFormat="1" x14ac:dyDescent="0.3">
      <c r="A19" s="10">
        <v>18</v>
      </c>
      <c r="B19" s="10" t="s">
        <v>26</v>
      </c>
      <c r="C19" s="10" t="s">
        <v>12</v>
      </c>
      <c r="D19" s="11">
        <v>5</v>
      </c>
      <c r="E19" s="10" t="s">
        <v>44</v>
      </c>
      <c r="F19" s="9">
        <v>308</v>
      </c>
      <c r="G19" s="9">
        <v>3748</v>
      </c>
      <c r="H19" s="10"/>
      <c r="I19" s="11"/>
      <c r="J19" s="11"/>
      <c r="K19" s="11"/>
    </row>
    <row r="20" spans="1:11" s="12" customFormat="1" x14ac:dyDescent="0.3">
      <c r="A20" s="10">
        <v>19</v>
      </c>
      <c r="B20" s="10" t="s">
        <v>27</v>
      </c>
      <c r="C20" s="10" t="s">
        <v>12</v>
      </c>
      <c r="D20" s="11">
        <v>5</v>
      </c>
      <c r="E20" s="10" t="s">
        <v>44</v>
      </c>
      <c r="F20" s="9">
        <v>352</v>
      </c>
      <c r="G20" s="9">
        <v>5999</v>
      </c>
      <c r="H20" s="10"/>
      <c r="I20" s="11"/>
      <c r="J20" s="11"/>
      <c r="K20" s="11"/>
    </row>
    <row r="21" spans="1:11" s="12" customFormat="1" x14ac:dyDescent="0.3">
      <c r="A21" s="10">
        <v>20</v>
      </c>
      <c r="B21" s="10" t="s">
        <v>28</v>
      </c>
      <c r="C21" s="10" t="s">
        <v>12</v>
      </c>
      <c r="D21" s="11">
        <v>4</v>
      </c>
      <c r="E21" s="10" t="s">
        <v>15</v>
      </c>
      <c r="F21" s="9">
        <v>545</v>
      </c>
      <c r="G21" s="9">
        <v>991</v>
      </c>
      <c r="H21" s="10"/>
      <c r="I21" s="11"/>
      <c r="J21" s="11"/>
      <c r="K21" s="11"/>
    </row>
    <row r="22" spans="1:11" s="12" customFormat="1" x14ac:dyDescent="0.3">
      <c r="A22" s="10">
        <v>21</v>
      </c>
      <c r="B22" s="10" t="s">
        <v>29</v>
      </c>
      <c r="C22" s="10" t="s">
        <v>12</v>
      </c>
      <c r="D22" s="11">
        <v>3</v>
      </c>
      <c r="E22" s="10" t="s">
        <v>30</v>
      </c>
      <c r="F22" s="9">
        <f>1599</f>
        <v>1599</v>
      </c>
      <c r="G22" s="9">
        <v>1413</v>
      </c>
      <c r="H22" s="10"/>
      <c r="I22" s="11"/>
      <c r="J22" s="11"/>
      <c r="K22" s="11"/>
    </row>
    <row r="23" spans="1:11" x14ac:dyDescent="0.3">
      <c r="A23" s="1">
        <v>22</v>
      </c>
      <c r="B23" s="1" t="s">
        <v>31</v>
      </c>
      <c r="C23" s="1" t="s">
        <v>32</v>
      </c>
      <c r="D23" s="4">
        <v>50</v>
      </c>
      <c r="E23" s="1" t="s">
        <v>15</v>
      </c>
      <c r="F23" s="9">
        <v>22716</v>
      </c>
      <c r="G23" s="9">
        <v>6820</v>
      </c>
      <c r="H23" s="1"/>
      <c r="I23" s="4"/>
      <c r="J23" s="4"/>
      <c r="K23" s="4"/>
    </row>
    <row r="24" spans="1:11" x14ac:dyDescent="0.3">
      <c r="A24" s="1">
        <v>23</v>
      </c>
      <c r="B24" s="1" t="s">
        <v>31</v>
      </c>
      <c r="C24" s="1" t="s">
        <v>12</v>
      </c>
      <c r="D24" s="4">
        <v>2.2999999999999998</v>
      </c>
      <c r="E24" s="1" t="s">
        <v>15</v>
      </c>
      <c r="F24" s="9">
        <v>537</v>
      </c>
      <c r="G24" s="9">
        <v>330</v>
      </c>
      <c r="H24" s="1" t="s">
        <v>17</v>
      </c>
      <c r="I24" s="4"/>
      <c r="J24" s="4"/>
      <c r="K24" s="4"/>
    </row>
    <row r="25" spans="1:11" x14ac:dyDescent="0.3">
      <c r="A25" s="1">
        <v>24</v>
      </c>
      <c r="B25" s="1" t="s">
        <v>33</v>
      </c>
      <c r="C25" s="1" t="s">
        <v>32</v>
      </c>
      <c r="D25" s="4">
        <v>50</v>
      </c>
      <c r="E25" s="1" t="s">
        <v>15</v>
      </c>
      <c r="F25" s="9">
        <v>3000</v>
      </c>
      <c r="G25" s="9">
        <f>6400*1.1</f>
        <v>7040.0000000000009</v>
      </c>
      <c r="H25" s="1"/>
      <c r="I25" s="4"/>
      <c r="J25" s="4"/>
      <c r="K25" s="4"/>
    </row>
    <row r="26" spans="1:11" x14ac:dyDescent="0.3">
      <c r="A26" s="1">
        <v>25</v>
      </c>
      <c r="B26" s="1" t="s">
        <v>34</v>
      </c>
      <c r="C26" s="1" t="s">
        <v>36</v>
      </c>
      <c r="D26" s="4">
        <v>50</v>
      </c>
      <c r="E26" s="1" t="s">
        <v>30</v>
      </c>
      <c r="F26" s="9">
        <v>5000</v>
      </c>
      <c r="G26" s="9">
        <v>2021</v>
      </c>
      <c r="H26" s="1"/>
      <c r="I26" s="4"/>
      <c r="J26" s="4"/>
      <c r="K26" s="4"/>
    </row>
    <row r="27" spans="1:11" x14ac:dyDescent="0.3">
      <c r="A27" s="1">
        <v>26</v>
      </c>
      <c r="B27" s="1" t="s">
        <v>35</v>
      </c>
      <c r="C27" s="1" t="s">
        <v>36</v>
      </c>
      <c r="D27" s="4">
        <v>50</v>
      </c>
      <c r="E27" s="1" t="s">
        <v>30</v>
      </c>
      <c r="F27" s="9">
        <v>5055</v>
      </c>
      <c r="G27" s="9">
        <v>2068</v>
      </c>
      <c r="H27" s="1"/>
      <c r="I27" s="4"/>
      <c r="J27" s="4"/>
      <c r="K27" s="4"/>
    </row>
    <row r="28" spans="1:11" x14ac:dyDescent="0.3">
      <c r="A28" s="1">
        <v>27</v>
      </c>
      <c r="B28" s="1" t="s">
        <v>37</v>
      </c>
      <c r="C28" s="1" t="s">
        <v>40</v>
      </c>
      <c r="D28" s="4">
        <v>1000</v>
      </c>
      <c r="E28" s="1" t="s">
        <v>15</v>
      </c>
      <c r="F28" s="9">
        <v>2000</v>
      </c>
      <c r="G28" s="9">
        <v>5808</v>
      </c>
      <c r="H28" s="1"/>
      <c r="I28" s="4"/>
      <c r="J28" s="4"/>
      <c r="K28" s="4"/>
    </row>
    <row r="29" spans="1:11" x14ac:dyDescent="0.3">
      <c r="A29" s="1">
        <v>28</v>
      </c>
      <c r="B29" s="1" t="s">
        <v>38</v>
      </c>
      <c r="C29" s="1" t="s">
        <v>41</v>
      </c>
      <c r="D29" s="4">
        <v>365</v>
      </c>
      <c r="E29" s="1" t="s">
        <v>42</v>
      </c>
      <c r="F29" s="9">
        <v>12015</v>
      </c>
      <c r="G29" s="9">
        <v>13200</v>
      </c>
      <c r="H29" s="1"/>
      <c r="I29" s="4"/>
      <c r="J29" s="4"/>
      <c r="K29" s="4"/>
    </row>
    <row r="30" spans="1:11" x14ac:dyDescent="0.3">
      <c r="A30" s="1">
        <v>29</v>
      </c>
      <c r="B30" s="1" t="s">
        <v>39</v>
      </c>
      <c r="C30" s="1" t="s">
        <v>41</v>
      </c>
      <c r="D30" s="4">
        <v>15</v>
      </c>
      <c r="E30" s="1" t="s">
        <v>43</v>
      </c>
      <c r="F30" s="9">
        <v>1889</v>
      </c>
      <c r="G30" s="9">
        <v>10120</v>
      </c>
      <c r="H30" s="1"/>
      <c r="I30" s="4"/>
      <c r="J30" s="4"/>
      <c r="K30" s="4"/>
    </row>
  </sheetData>
  <phoneticPr fontId="1" type="noConversion"/>
  <conditionalFormatting sqref="A1:K1048576">
    <cfRule type="expression" dxfId="1" priority="1">
      <formula>$J1="R"</formula>
    </cfRule>
    <cfRule type="expression" dxfId="0" priority="2">
      <formula>$H1="S"</formula>
    </cfRule>
  </conditionalFormatting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미라 양</cp:lastModifiedBy>
  <cp:lastPrinted>2015-01-23T09:17:05Z</cp:lastPrinted>
  <dcterms:created xsi:type="dcterms:W3CDTF">2013-01-17T00:18:34Z</dcterms:created>
  <dcterms:modified xsi:type="dcterms:W3CDTF">2026-07-24T00:45:29Z</dcterms:modified>
</cp:coreProperties>
</file>